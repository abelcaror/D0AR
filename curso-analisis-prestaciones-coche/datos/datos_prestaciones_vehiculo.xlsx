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Curvas del Motor" sheetId="2" state="visible" r:id="rId4"/>
    <sheet name="Transmisión" sheetId="3" state="visible" r:id="rId5"/>
    <sheet name="Prestaciones" sheetId="4" state="visible" r:id="rId6"/>
    <sheet name="Comparativa Mejoras" sheetId="5" state="visible" r:id="rId7"/>
    <sheet name="Velocidades por March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<sst xmlns="http://schemas.openxmlformats.org/spreadsheetml/2006/main" count="149" uniqueCount="120">
  <si>
    <t xml:space="preserve">ANÁLISIS DE PRESTACIONES DEL VEHÍCULO — DATOS DE ENTRADA</t>
  </si>
  <si>
    <t xml:space="preserve">MOTOR</t>
  </si>
  <si>
    <t xml:space="preserve">Par máximo</t>
  </si>
  <si>
    <t xml:space="preserve">T_max</t>
  </si>
  <si>
    <t xml:space="preserve">Régimen de par máximo</t>
  </si>
  <si>
    <t xml:space="preserve">w_tmax</t>
  </si>
  <si>
    <t xml:space="preserve">Régimen mínimo</t>
  </si>
  <si>
    <t xml:space="preserve">w_min</t>
  </si>
  <si>
    <t xml:space="preserve">Régimen máximo</t>
  </si>
  <si>
    <t xml:space="preserve">w_max</t>
  </si>
  <si>
    <t xml:space="preserve">TRANSMISIÓN</t>
  </si>
  <si>
    <t xml:space="preserve">Rendimiento de transmisión</t>
  </si>
  <si>
    <t xml:space="preserve">η_t</t>
  </si>
  <si>
    <t xml:space="preserve">Radio de neumáticos</t>
  </si>
  <si>
    <t xml:space="preserve">R_neum</t>
  </si>
  <si>
    <t xml:space="preserve">Factor inercias giratorias</t>
  </si>
  <si>
    <t xml:space="preserve">γ_m</t>
  </si>
  <si>
    <t xml:space="preserve">Desarrollos (km/h a 1000 rpm)</t>
  </si>
  <si>
    <t xml:space="preserve">V₁…V₅</t>
  </si>
  <si>
    <t xml:space="preserve">Relaciones de transmisión (calculado)</t>
  </si>
  <si>
    <t xml:space="preserve">r₁…r₅</t>
  </si>
  <si>
    <t xml:space="preserve">VEHÍCULO Y ENTORNO</t>
  </si>
  <si>
    <t xml:space="preserve">Masa TARA</t>
  </si>
  <si>
    <t xml:space="preserve">m</t>
  </si>
  <si>
    <t xml:space="preserve">Masa carga (equipaje+pasajeros)</t>
  </si>
  <si>
    <t xml:space="preserve">m_carg</t>
  </si>
  <si>
    <t xml:space="preserve">Área frontal</t>
  </si>
  <si>
    <t xml:space="preserve">A_f</t>
  </si>
  <si>
    <t xml:space="preserve">Coeficiente aerodinámico</t>
  </si>
  <si>
    <t xml:space="preserve">C_x</t>
  </si>
  <si>
    <t xml:space="preserve">Coef. resistencia a la rodadura</t>
  </si>
  <si>
    <t xml:space="preserve">f_r</t>
  </si>
  <si>
    <t xml:space="preserve">Densidad del aire</t>
  </si>
  <si>
    <t xml:space="preserve">ρ_a</t>
  </si>
  <si>
    <t xml:space="preserve">Aceleración de la gravedad</t>
  </si>
  <si>
    <t xml:space="preserve">g</t>
  </si>
  <si>
    <t xml:space="preserve">Poder calorífico combustible</t>
  </si>
  <si>
    <t xml:space="preserve">H</t>
  </si>
  <si>
    <t xml:space="preserve">Rendimiento medio del motor</t>
  </si>
  <si>
    <t xml:space="preserve">η_m</t>
  </si>
  <si>
    <t xml:space="preserve">Pendiente de la calzada</t>
  </si>
  <si>
    <t xml:space="preserve">φ</t>
  </si>
  <si>
    <t xml:space="preserve">Convención de colores:  azul = datos de entrada modificables  |  negro = valores calculados  |  verde = campo derivado</t>
  </si>
  <si>
    <t xml:space="preserve">CURVAS CARACTERÍSTICAS DEL MOTOR</t>
  </si>
  <si>
    <t xml:space="preserve">RPM</t>
  </si>
  <si>
    <t xml:space="preserve">Par (Nm)</t>
  </si>
  <si>
    <t xml:space="preserve">Potencia (W)</t>
  </si>
  <si>
    <t xml:space="preserve">Potencia (kW)</t>
  </si>
  <si>
    <t xml:space="preserve">Potencia (CV)</t>
  </si>
  <si>
    <t xml:space="preserve">MÁXIMOS</t>
  </si>
  <si>
    <t xml:space="preserve">RPM de par máximo:</t>
  </si>
  <si>
    <t xml:space="preserve">RPM de potencia máxima:</t>
  </si>
  <si>
    <t xml:space="preserve">RELACIONES DE TRANSMISIÓN Y RANGO DE VELOCIDADES</t>
  </si>
  <si>
    <t xml:space="preserve">Marcha</t>
  </si>
  <si>
    <t xml:space="preserve">Desarrollo
(km/h/1000rpm)</t>
  </si>
  <si>
    <t xml:space="preserve">Relación
transmisión</t>
  </si>
  <si>
    <t xml:space="preserve">v_min
(km/h)</t>
  </si>
  <si>
    <t xml:space="preserve">v_max
(km/h)</t>
  </si>
  <si>
    <t xml:space="preserve">v @ T_max
(km/h)</t>
  </si>
  <si>
    <t xml:space="preserve">v @ P_max
(km/h)</t>
  </si>
  <si>
    <t xml:space="preserve">Rango (km/h)</t>
  </si>
  <si>
    <t xml:space="preserve">1ª</t>
  </si>
  <si>
    <t xml:space="preserve">2ª</t>
  </si>
  <si>
    <t xml:space="preserve">3ª</t>
  </si>
  <si>
    <t xml:space="preserve">4ª</t>
  </si>
  <si>
    <t xml:space="preserve">5ª</t>
  </si>
  <si>
    <t xml:space="preserve">RESUMEN DE PRESTACIONES — VEHÍCULO BASE</t>
  </si>
  <si>
    <t xml:space="preserve">VELOCIDAD MÁXIMA (5ª marcha)</t>
  </si>
  <si>
    <t xml:space="preserve">Velocidad máxima teórica (5ª marcha)</t>
  </si>
  <si>
    <t xml:space="preserve">Fuerza de tracción en v_max</t>
  </si>
  <si>
    <t xml:space="preserve">PENDIENTE MÁXIMA DE ARRANQUE (1ª marcha)</t>
  </si>
  <si>
    <t xml:space="preserve">Pendiente máxima (°)</t>
  </si>
  <si>
    <t xml:space="preserve">Pendiente máxima (%)</t>
  </si>
  <si>
    <t xml:space="preserve">Fuerza de tracción máxima (1ª marcha)</t>
  </si>
  <si>
    <t xml:space="preserve">CONSUMO A VELOCIDAD CONSTANTE (5ª marcha, carga completa)</t>
  </si>
  <si>
    <t xml:space="preserve">Velocidad</t>
  </si>
  <si>
    <t xml:space="preserve">F_resistiva (N)</t>
  </si>
  <si>
    <t xml:space="preserve">Consumo (l/100km)</t>
  </si>
  <si>
    <t xml:space="preserve">Nota</t>
  </si>
  <si>
    <t xml:space="preserve">80 km/h</t>
  </si>
  <si>
    <t xml:space="preserve">Mín. consumo</t>
  </si>
  <si>
    <t xml:space="preserve">100 km/h</t>
  </si>
  <si>
    <t xml:space="preserve">120 km/h</t>
  </si>
  <si>
    <t xml:space="preserve">Máx. eficiencia autopista</t>
  </si>
  <si>
    <t xml:space="preserve">140 km/h</t>
  </si>
  <si>
    <t xml:space="preserve">160 km/h</t>
  </si>
  <si>
    <t xml:space="preserve">COMPARATIVA DE MEJORAS SOBRE EL VEHÍCULO BASE</t>
  </si>
  <si>
    <t xml:space="preserve">Impacto de cada modificación sobre las prestaciones clave</t>
  </si>
  <si>
    <t xml:space="preserve">Variante / Mejora</t>
  </si>
  <si>
    <t xml:space="preserve">Parámetro
modificado</t>
  </si>
  <si>
    <t xml:space="preserve">Δ v_max
(km/h)</t>
  </si>
  <si>
    <t xml:space="preserve">Consumo 120
(l/100km)</t>
  </si>
  <si>
    <t xml:space="preserve">Δ Consumo
(l/100km)</t>
  </si>
  <si>
    <t xml:space="preserve">Pendiente
máx. (°)</t>
  </si>
  <si>
    <t xml:space="preserve">Vehículo base</t>
  </si>
  <si>
    <t xml:space="preserve">—</t>
  </si>
  <si>
    <t xml:space="preserve">Motor +15% par</t>
  </si>
  <si>
    <t xml:space="preserve">T_max × 1.15</t>
  </si>
  <si>
    <t xml:space="preserve">Motor +30% par</t>
  </si>
  <si>
    <t xml:space="preserve">T_max × 1.30</t>
  </si>
  <si>
    <t xml:space="preserve">Reducción masa −80 kg</t>
  </si>
  <si>
    <t xml:space="preserve">m − 80 kg</t>
  </si>
  <si>
    <t xml:space="preserve">Reducción masa −150 kg</t>
  </si>
  <si>
    <t xml:space="preserve">m − 150 kg</t>
  </si>
  <si>
    <t xml:space="preserve">Aerodinámica Cx=0.26</t>
  </si>
  <si>
    <t xml:space="preserve">Cx: 0.32 → 0.26</t>
  </si>
  <si>
    <t xml:space="preserve">Aerodinámica Cx=0.22</t>
  </si>
  <si>
    <t xml:space="preserve">Cx: 0.32 → 0.22</t>
  </si>
  <si>
    <t xml:space="preserve">Transmisión +3%</t>
  </si>
  <si>
    <t xml:space="preserve">η_t: 0.90 → 0.93</t>
  </si>
  <si>
    <t xml:space="preserve">Paquete completo</t>
  </si>
  <si>
    <t xml:space="preserve">Motor+masa+aero</t>
  </si>
  <si>
    <t xml:space="preserve">Verde = mejora respecto al base  |  Rojo = empeora respecto al base</t>
  </si>
  <si>
    <t xml:space="preserve">VELOCIDAD DEL VEHÍCULO POR MARCHA Y RÉGIMEN</t>
  </si>
  <si>
    <t xml:space="preserve">1ª (km/h)</t>
  </si>
  <si>
    <t xml:space="preserve">2ª (km/h)</t>
  </si>
  <si>
    <t xml:space="preserve">3ª (km/h)</t>
  </si>
  <si>
    <t xml:space="preserve">4ª (km/h)</t>
  </si>
  <si>
    <t xml:space="preserve">5ª (km/h)</t>
  </si>
  <si>
    <t xml:space="preserve">Marcha recomendada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</si>
</sst>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0.0&quot; Nm&quot;"/>
    <numFmt numFmtId="166" formatCode="0&quot; rpm&quot;"/>
    <numFmt numFmtId="167" formatCode="0.00%"/>
    <numFmt numFmtId="168" formatCode="0.000&quot; m&quot;"/>
    <numFmt numFmtId="169" formatCode="0.00"/>
    <numFmt numFmtId="170" formatCode="0.0&quot; km/h&quot;"/>
    <numFmt numFmtId="171" formatCode="0.000"/>
    <numFmt numFmtId="172" formatCode="0&quot; kg&quot;"/>
    <numFmt numFmtId="173" formatCode="0.0&quot; m²&quot;"/>
    <numFmt numFmtId="174" formatCode="0.000&quot; kg/m³&quot;"/>
    <numFmt numFmtId="175" formatCode="0.000&quot; m/s²&quot;"/>
    <numFmt numFmtId="176" formatCode="0.0&quot; MJ/l&quot;"/>
    <numFmt numFmtId="177" formatCode="0%"/>
    <numFmt numFmtId="178" formatCode="0&quot; °&quot;"/>
    <numFmt numFmtId="179" formatCode="0"/>
    <numFmt numFmtId="180" formatCode="0.0"/>
    <numFmt numFmtId="181" formatCode="#,##0"/>
    <numFmt numFmtId="182" formatCode="General"/>
    <numFmt numFmtId="183" formatCode="#,##0&quot; N&quot;"/>
    <numFmt numFmtId="184" formatCode="0.0&quot; °&quot;"/>
    <numFmt numFmtId="185" formatCode="0&quot; %&quot;"/>
    <numFmt numFmtId="186" formatCode="\+0.0;\-0.0;\—"/>
    <numFmt numFmtId="187" formatCode="\+0.00;\-0.00;\—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AA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2F7FC"/>
        <bgColor rgb="FFFFFFFF"/>
      </patternFill>
    </fill>
    <fill>
      <patternFill patternType="solid">
        <fgColor rgb="FFFFF2CC"/>
        <bgColor rgb="FFE2EFDA"/>
      </patternFill>
    </fill>
    <fill>
      <patternFill patternType="solid">
        <fgColor rgb="FFFFFFFF"/>
        <bgColor rgb="FFF2F7F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medium">
        <color rgb="FF1F4E79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6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1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6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3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1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5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A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7FC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C26" activeCellId="0" sqref="C2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7" min="3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</row>
    <row r="4" customFormat="false" ht="15.75" hidden="false" customHeight="true" outlineLevel="0" collapsed="false">
      <c r="A4" s="4" t="s">
        <v>2</v>
      </c>
      <c r="B4" s="5" t="s">
        <v>3</v>
      </c>
      <c r="C4" s="6" t="n">
        <v>250</v>
      </c>
    </row>
    <row r="5" customFormat="false" ht="15.75" hidden="false" customHeight="true" outlineLevel="0" collapsed="false">
      <c r="A5" s="4" t="s">
        <v>4</v>
      </c>
      <c r="B5" s="7" t="s">
        <v>5</v>
      </c>
      <c r="C5" s="8" t="n">
        <v>1750</v>
      </c>
    </row>
    <row r="6" customFormat="false" ht="15.75" hidden="false" customHeight="true" outlineLevel="0" collapsed="false">
      <c r="A6" s="4" t="s">
        <v>6</v>
      </c>
      <c r="B6" s="5" t="s">
        <v>7</v>
      </c>
      <c r="C6" s="8" t="n">
        <v>1000</v>
      </c>
    </row>
    <row r="7" customFormat="false" ht="15.75" hidden="false" customHeight="true" outlineLevel="0" collapsed="false">
      <c r="A7" s="4" t="s">
        <v>8</v>
      </c>
      <c r="B7" s="7" t="s">
        <v>9</v>
      </c>
      <c r="C7" s="8" t="n">
        <v>7000</v>
      </c>
    </row>
    <row r="9" customFormat="false" ht="21.75" hidden="false" customHeight="true" outlineLevel="0" collapsed="false">
      <c r="A9" s="3" t="s">
        <v>10</v>
      </c>
      <c r="B9" s="3"/>
      <c r="C9" s="3"/>
      <c r="D9" s="3"/>
      <c r="E9" s="3"/>
    </row>
    <row r="10" customFormat="false" ht="15.75" hidden="false" customHeight="true" outlineLevel="0" collapsed="false">
      <c r="A10" s="4" t="s">
        <v>11</v>
      </c>
      <c r="B10" s="5" t="s">
        <v>12</v>
      </c>
      <c r="C10" s="9" t="n">
        <v>0.9</v>
      </c>
    </row>
    <row r="11" customFormat="false" ht="15.75" hidden="false" customHeight="true" outlineLevel="0" collapsed="false">
      <c r="A11" s="4" t="s">
        <v>13</v>
      </c>
      <c r="B11" s="7" t="s">
        <v>14</v>
      </c>
      <c r="C11" s="10" t="n">
        <v>0.24275</v>
      </c>
    </row>
    <row r="12" customFormat="false" ht="15.75" hidden="false" customHeight="true" outlineLevel="0" collapsed="false">
      <c r="A12" s="4" t="s">
        <v>15</v>
      </c>
      <c r="B12" s="5" t="s">
        <v>16</v>
      </c>
      <c r="C12" s="11" t="n">
        <v>1.04</v>
      </c>
    </row>
    <row r="13" customFormat="false" ht="15.75" hidden="false" customHeight="true" outlineLevel="0" collapsed="false">
      <c r="A13" s="4" t="s">
        <v>17</v>
      </c>
      <c r="B13" s="5" t="s">
        <v>18</v>
      </c>
      <c r="C13" s="12" t="n">
        <v>8.8</v>
      </c>
      <c r="D13" s="12" t="n">
        <v>16.2</v>
      </c>
      <c r="E13" s="12" t="n">
        <v>26.4</v>
      </c>
      <c r="F13" s="12" t="n">
        <v>36.9</v>
      </c>
      <c r="G13" s="12" t="n">
        <v>46</v>
      </c>
    </row>
    <row r="14" customFormat="false" ht="15.75" hidden="false" customHeight="true" outlineLevel="0" collapsed="false">
      <c r="A14" s="13" t="s">
        <v>19</v>
      </c>
      <c r="B14" s="5" t="s">
        <v>20</v>
      </c>
      <c r="C14" s="14" t="n">
        <v>10.3994</v>
      </c>
      <c r="D14" s="14" t="n">
        <v>5.649</v>
      </c>
      <c r="E14" s="14" t="n">
        <v>3.4665</v>
      </c>
      <c r="F14" s="14" t="n">
        <v>2.4801</v>
      </c>
      <c r="G14" s="14" t="n">
        <v>1.9894</v>
      </c>
    </row>
    <row r="16" customFormat="false" ht="21.75" hidden="false" customHeight="true" outlineLevel="0" collapsed="false">
      <c r="A16" s="3" t="s">
        <v>21</v>
      </c>
      <c r="B16" s="3"/>
      <c r="C16" s="3"/>
      <c r="D16" s="3"/>
      <c r="E16" s="3"/>
    </row>
    <row r="17" customFormat="false" ht="15.75" hidden="false" customHeight="true" outlineLevel="0" collapsed="false">
      <c r="A17" s="4" t="s">
        <v>22</v>
      </c>
      <c r="B17" s="5" t="s">
        <v>23</v>
      </c>
      <c r="C17" s="15" t="n">
        <v>1216</v>
      </c>
    </row>
    <row r="18" customFormat="false" ht="15.75" hidden="false" customHeight="true" outlineLevel="0" collapsed="false">
      <c r="A18" s="4" t="s">
        <v>24</v>
      </c>
      <c r="B18" s="7" t="s">
        <v>25</v>
      </c>
      <c r="C18" s="15" t="n">
        <v>500</v>
      </c>
    </row>
    <row r="19" customFormat="false" ht="15.75" hidden="false" customHeight="true" outlineLevel="0" collapsed="false">
      <c r="A19" s="4" t="s">
        <v>26</v>
      </c>
      <c r="B19" s="5" t="s">
        <v>27</v>
      </c>
      <c r="C19" s="16" t="n">
        <v>2</v>
      </c>
    </row>
    <row r="20" customFormat="false" ht="15.75" hidden="false" customHeight="true" outlineLevel="0" collapsed="false">
      <c r="A20" s="4" t="s">
        <v>28</v>
      </c>
      <c r="B20" s="7" t="s">
        <v>29</v>
      </c>
      <c r="C20" s="11" t="n">
        <v>0.32</v>
      </c>
    </row>
    <row r="21" customFormat="false" ht="15.75" hidden="false" customHeight="true" outlineLevel="0" collapsed="false">
      <c r="A21" s="4" t="s">
        <v>30</v>
      </c>
      <c r="B21" s="5" t="s">
        <v>31</v>
      </c>
      <c r="C21" s="17" t="n">
        <v>0.01</v>
      </c>
    </row>
    <row r="22" customFormat="false" ht="15.75" hidden="false" customHeight="true" outlineLevel="0" collapsed="false">
      <c r="A22" s="4" t="s">
        <v>32</v>
      </c>
      <c r="B22" s="7" t="s">
        <v>33</v>
      </c>
      <c r="C22" s="18" t="n">
        <v>1.225</v>
      </c>
    </row>
    <row r="23" customFormat="false" ht="15.75" hidden="false" customHeight="true" outlineLevel="0" collapsed="false">
      <c r="A23" s="4" t="s">
        <v>34</v>
      </c>
      <c r="B23" s="5" t="s">
        <v>35</v>
      </c>
      <c r="C23" s="19" t="n">
        <v>9.81</v>
      </c>
    </row>
    <row r="24" customFormat="false" ht="15.75" hidden="false" customHeight="true" outlineLevel="0" collapsed="false">
      <c r="A24" s="4" t="s">
        <v>36</v>
      </c>
      <c r="B24" s="7" t="s">
        <v>37</v>
      </c>
      <c r="C24" s="20" t="n">
        <v>35</v>
      </c>
    </row>
    <row r="25" customFormat="false" ht="15.75" hidden="false" customHeight="true" outlineLevel="0" collapsed="false">
      <c r="A25" s="4" t="s">
        <v>38</v>
      </c>
      <c r="B25" s="5" t="s">
        <v>39</v>
      </c>
      <c r="C25" s="21" t="n">
        <v>0.28</v>
      </c>
    </row>
    <row r="26" customFormat="false" ht="15.75" hidden="false" customHeight="true" outlineLevel="0" collapsed="false">
      <c r="A26" s="4" t="s">
        <v>40</v>
      </c>
      <c r="B26" s="7" t="s">
        <v>41</v>
      </c>
      <c r="C26" s="22" t="n">
        <v>0</v>
      </c>
    </row>
    <row r="28" customFormat="false" ht="15" hidden="false" customHeight="false" outlineLevel="0" collapsed="false">
      <c r="A28" s="23" t="s">
        <v>42</v>
      </c>
      <c r="B28" s="23"/>
      <c r="C28" s="23"/>
      <c r="D28" s="23"/>
      <c r="E28" s="23"/>
    </row>
  </sheetData>
  <mergeCells count="5">
    <mergeCell ref="A1:E1"/>
    <mergeCell ref="A3:E3"/>
    <mergeCell ref="A9:E9"/>
    <mergeCell ref="A16:E16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30" hidden="false" customHeight="true" outlineLevel="0" collapsed="false">
      <c r="A1" s="2" t="s">
        <v>43</v>
      </c>
      <c r="B1" s="2"/>
      <c r="C1" s="2"/>
      <c r="D1" s="2"/>
      <c r="E1" s="2"/>
    </row>
    <row r="2" customFormat="false" ht="19.5" hidden="false" customHeight="true" outlineLevel="0" collapsed="false">
      <c r="A2" s="24" t="s">
        <v>44</v>
      </c>
      <c r="B2" s="24" t="s">
        <v>45</v>
      </c>
      <c r="C2" s="24" t="s">
        <v>46</v>
      </c>
      <c r="D2" s="24" t="s">
        <v>47</v>
      </c>
      <c r="E2" s="24" t="s">
        <v>48</v>
      </c>
    </row>
    <row r="3" customFormat="false" ht="15" hidden="false" customHeight="true" outlineLevel="0" collapsed="false">
      <c r="A3" s="25" t="n">
        <v>1000</v>
      </c>
      <c r="B3" s="26" t="n">
        <v>244.9</v>
      </c>
      <c r="C3" s="27" t="n">
        <v>25646</v>
      </c>
      <c r="D3" s="28" t="n">
        <v>25.65</v>
      </c>
      <c r="E3" s="26" t="n">
        <v>34.9</v>
      </c>
    </row>
    <row r="4" customFormat="false" ht="15" hidden="false" customHeight="true" outlineLevel="0" collapsed="false">
      <c r="A4" s="29" t="n">
        <v>1250</v>
      </c>
      <c r="B4" s="30" t="n">
        <v>247.7</v>
      </c>
      <c r="C4" s="31" t="n">
        <v>32428</v>
      </c>
      <c r="D4" s="32" t="n">
        <v>32.43</v>
      </c>
      <c r="E4" s="30" t="n">
        <v>44.1</v>
      </c>
    </row>
    <row r="5" customFormat="false" ht="15" hidden="false" customHeight="true" outlineLevel="0" collapsed="false">
      <c r="A5" s="25" t="n">
        <v>1500</v>
      </c>
      <c r="B5" s="26" t="n">
        <v>249.4</v>
      </c>
      <c r="C5" s="27" t="n">
        <v>39181</v>
      </c>
      <c r="D5" s="28" t="n">
        <v>39.18</v>
      </c>
      <c r="E5" s="26" t="n">
        <v>53.3</v>
      </c>
    </row>
    <row r="6" customFormat="false" ht="15" hidden="false" customHeight="true" outlineLevel="0" collapsed="false">
      <c r="A6" s="29" t="n">
        <v>1750</v>
      </c>
      <c r="B6" s="30" t="n">
        <v>250</v>
      </c>
      <c r="C6" s="31" t="n">
        <v>45815</v>
      </c>
      <c r="D6" s="32" t="n">
        <v>45.81</v>
      </c>
      <c r="E6" s="30" t="n">
        <v>62.3</v>
      </c>
    </row>
    <row r="7" customFormat="false" ht="15" hidden="false" customHeight="true" outlineLevel="0" collapsed="false">
      <c r="A7" s="25" t="n">
        <v>2000</v>
      </c>
      <c r="B7" s="26" t="n">
        <v>249.4</v>
      </c>
      <c r="C7" s="27" t="n">
        <v>52241</v>
      </c>
      <c r="D7" s="28" t="n">
        <v>52.24</v>
      </c>
      <c r="E7" s="26" t="n">
        <v>71</v>
      </c>
    </row>
    <row r="8" customFormat="false" ht="15" hidden="false" customHeight="true" outlineLevel="0" collapsed="false">
      <c r="A8" s="29" t="n">
        <v>2250</v>
      </c>
      <c r="B8" s="30" t="n">
        <v>247.7</v>
      </c>
      <c r="C8" s="31" t="n">
        <v>58371</v>
      </c>
      <c r="D8" s="32" t="n">
        <v>58.37</v>
      </c>
      <c r="E8" s="30" t="n">
        <v>79.4</v>
      </c>
    </row>
    <row r="9" customFormat="false" ht="15" hidden="false" customHeight="true" outlineLevel="0" collapsed="false">
      <c r="A9" s="25" t="n">
        <v>2500</v>
      </c>
      <c r="B9" s="26" t="n">
        <v>244.9</v>
      </c>
      <c r="C9" s="27" t="n">
        <v>64114</v>
      </c>
      <c r="D9" s="28" t="n">
        <v>64.11</v>
      </c>
      <c r="E9" s="26" t="n">
        <v>87.2</v>
      </c>
    </row>
    <row r="10" customFormat="false" ht="15" hidden="false" customHeight="true" outlineLevel="0" collapsed="false">
      <c r="A10" s="29" t="n">
        <v>2750</v>
      </c>
      <c r="B10" s="30" t="n">
        <v>240.9</v>
      </c>
      <c r="C10" s="31" t="n">
        <v>69383</v>
      </c>
      <c r="D10" s="32" t="n">
        <v>69.38</v>
      </c>
      <c r="E10" s="30" t="n">
        <v>94.3</v>
      </c>
    </row>
    <row r="11" customFormat="false" ht="15" hidden="false" customHeight="true" outlineLevel="0" collapsed="false">
      <c r="A11" s="25" t="n">
        <v>3000</v>
      </c>
      <c r="B11" s="26" t="n">
        <v>235.8</v>
      </c>
      <c r="C11" s="27" t="n">
        <v>74087</v>
      </c>
      <c r="D11" s="28" t="n">
        <v>74.09</v>
      </c>
      <c r="E11" s="26" t="n">
        <v>100.7</v>
      </c>
    </row>
    <row r="12" customFormat="false" ht="15" hidden="false" customHeight="true" outlineLevel="0" collapsed="false">
      <c r="A12" s="29" t="n">
        <v>3250</v>
      </c>
      <c r="B12" s="30" t="n">
        <v>229.6</v>
      </c>
      <c r="C12" s="31" t="n">
        <v>78139</v>
      </c>
      <c r="D12" s="32" t="n">
        <v>78.14</v>
      </c>
      <c r="E12" s="30" t="n">
        <v>106.2</v>
      </c>
    </row>
    <row r="13" customFormat="false" ht="15" hidden="false" customHeight="true" outlineLevel="0" collapsed="false">
      <c r="A13" s="25" t="n">
        <v>3500</v>
      </c>
      <c r="B13" s="26" t="n">
        <v>222.2</v>
      </c>
      <c r="C13" s="27" t="n">
        <v>81449</v>
      </c>
      <c r="D13" s="28" t="n">
        <v>81.45</v>
      </c>
      <c r="E13" s="26" t="n">
        <v>110.7</v>
      </c>
    </row>
    <row r="14" customFormat="false" ht="15" hidden="false" customHeight="true" outlineLevel="0" collapsed="false">
      <c r="A14" s="29" t="n">
        <v>3750</v>
      </c>
      <c r="B14" s="30" t="n">
        <v>213.7</v>
      </c>
      <c r="C14" s="31" t="n">
        <v>83927</v>
      </c>
      <c r="D14" s="32" t="n">
        <v>83.93</v>
      </c>
      <c r="E14" s="30" t="n">
        <v>114.1</v>
      </c>
    </row>
    <row r="15" customFormat="false" ht="15" hidden="false" customHeight="true" outlineLevel="0" collapsed="false">
      <c r="A15" s="25" t="n">
        <v>4000</v>
      </c>
      <c r="B15" s="26" t="n">
        <v>204.1</v>
      </c>
      <c r="C15" s="27" t="n">
        <v>85486</v>
      </c>
      <c r="D15" s="28" t="n">
        <v>85.49</v>
      </c>
      <c r="E15" s="26" t="n">
        <v>116.2</v>
      </c>
    </row>
    <row r="16" customFormat="false" ht="15" hidden="false" customHeight="true" outlineLevel="0" collapsed="false">
      <c r="A16" s="29" t="n">
        <v>4250</v>
      </c>
      <c r="B16" s="30" t="n">
        <v>193.3</v>
      </c>
      <c r="C16" s="31" t="n">
        <v>86035</v>
      </c>
      <c r="D16" s="32" t="n">
        <v>86.03</v>
      </c>
      <c r="E16" s="30" t="n">
        <v>117</v>
      </c>
    </row>
    <row r="17" customFormat="false" ht="15" hidden="false" customHeight="true" outlineLevel="0" collapsed="false">
      <c r="A17" s="25" t="n">
        <v>4500</v>
      </c>
      <c r="B17" s="26" t="n">
        <v>181.4</v>
      </c>
      <c r="C17" s="27" t="n">
        <v>85486</v>
      </c>
      <c r="D17" s="28" t="n">
        <v>85.49</v>
      </c>
      <c r="E17" s="26" t="n">
        <v>116.2</v>
      </c>
    </row>
    <row r="18" customFormat="false" ht="15" hidden="false" customHeight="true" outlineLevel="0" collapsed="false">
      <c r="A18" s="29" t="n">
        <v>4750</v>
      </c>
      <c r="B18" s="30" t="n">
        <v>168.4</v>
      </c>
      <c r="C18" s="31" t="n">
        <v>83749</v>
      </c>
      <c r="D18" s="32" t="n">
        <v>83.75</v>
      </c>
      <c r="E18" s="30" t="n">
        <v>113.9</v>
      </c>
    </row>
    <row r="19" customFormat="false" ht="15" hidden="false" customHeight="true" outlineLevel="0" collapsed="false">
      <c r="A19" s="25" t="n">
        <v>5000</v>
      </c>
      <c r="B19" s="26" t="n">
        <v>154.2</v>
      </c>
      <c r="C19" s="27" t="n">
        <v>80736</v>
      </c>
      <c r="D19" s="28" t="n">
        <v>80.74</v>
      </c>
      <c r="E19" s="26" t="n">
        <v>109.8</v>
      </c>
    </row>
    <row r="20" customFormat="false" ht="15" hidden="false" customHeight="true" outlineLevel="0" collapsed="false">
      <c r="A20" s="29" t="n">
        <v>5250</v>
      </c>
      <c r="B20" s="30" t="n">
        <v>138.9</v>
      </c>
      <c r="C20" s="31" t="n">
        <v>76358</v>
      </c>
      <c r="D20" s="32" t="n">
        <v>76.36</v>
      </c>
      <c r="E20" s="30" t="n">
        <v>103.8</v>
      </c>
    </row>
    <row r="21" customFormat="false" ht="15" hidden="false" customHeight="true" outlineLevel="0" collapsed="false">
      <c r="A21" s="25" t="n">
        <v>5500</v>
      </c>
      <c r="B21" s="26" t="n">
        <v>122.4</v>
      </c>
      <c r="C21" s="27" t="n">
        <v>70526</v>
      </c>
      <c r="D21" s="28" t="n">
        <v>70.53</v>
      </c>
      <c r="E21" s="26" t="n">
        <v>95.9</v>
      </c>
    </row>
    <row r="22" customFormat="false" ht="15" hidden="false" customHeight="true" outlineLevel="0" collapsed="false">
      <c r="A22" s="29" t="n">
        <v>5750</v>
      </c>
      <c r="B22" s="30" t="n">
        <v>104.9</v>
      </c>
      <c r="C22" s="31" t="n">
        <v>63149</v>
      </c>
      <c r="D22" s="32" t="n">
        <v>63.15</v>
      </c>
      <c r="E22" s="30" t="n">
        <v>85.9</v>
      </c>
    </row>
    <row r="23" customFormat="false" ht="15" hidden="false" customHeight="true" outlineLevel="0" collapsed="false">
      <c r="A23" s="25" t="n">
        <v>6000</v>
      </c>
      <c r="B23" s="26" t="n">
        <v>86.2</v>
      </c>
      <c r="C23" s="27" t="n">
        <v>54141</v>
      </c>
      <c r="D23" s="28" t="n">
        <v>54.14</v>
      </c>
      <c r="E23" s="26" t="n">
        <v>73.6</v>
      </c>
    </row>
    <row r="24" customFormat="false" ht="15" hidden="false" customHeight="true" outlineLevel="0" collapsed="false">
      <c r="A24" s="29" t="n">
        <v>6250</v>
      </c>
      <c r="B24" s="30" t="n">
        <v>66.3</v>
      </c>
      <c r="C24" s="31" t="n">
        <v>43411</v>
      </c>
      <c r="D24" s="32" t="n">
        <v>43.41</v>
      </c>
      <c r="E24" s="30" t="n">
        <v>59</v>
      </c>
    </row>
    <row r="25" customFormat="false" ht="15" hidden="false" customHeight="true" outlineLevel="0" collapsed="false">
      <c r="A25" s="25" t="n">
        <v>6500</v>
      </c>
      <c r="B25" s="26" t="n">
        <v>45.4</v>
      </c>
      <c r="C25" s="27" t="n">
        <v>30870</v>
      </c>
      <c r="D25" s="28" t="n">
        <v>30.87</v>
      </c>
      <c r="E25" s="26" t="n">
        <v>42</v>
      </c>
    </row>
    <row r="26" customFormat="false" ht="15" hidden="false" customHeight="true" outlineLevel="0" collapsed="false">
      <c r="A26" s="29" t="n">
        <v>6750</v>
      </c>
      <c r="B26" s="30" t="n">
        <v>23.2</v>
      </c>
      <c r="C26" s="31" t="n">
        <v>16429</v>
      </c>
      <c r="D26" s="32" t="n">
        <v>16.43</v>
      </c>
      <c r="E26" s="30" t="n">
        <v>22.3</v>
      </c>
    </row>
    <row r="27" customFormat="false" ht="15" hidden="false" customHeight="true" outlineLevel="0" collapsed="false">
      <c r="A27" s="25" t="n">
        <v>7000</v>
      </c>
      <c r="B27" s="26" t="n">
        <v>0</v>
      </c>
      <c r="C27" s="27" t="n">
        <v>0</v>
      </c>
      <c r="D27" s="28" t="n">
        <v>0</v>
      </c>
      <c r="E27" s="26" t="n">
        <v>0</v>
      </c>
    </row>
    <row r="28" customFormat="false" ht="18" hidden="false" customHeight="true" outlineLevel="0" collapsed="false">
      <c r="A28" s="33" t="s">
        <v>49</v>
      </c>
      <c r="B28" s="34" t="n">
        <f aca="false">MAX(B3:B27)</f>
        <v>250</v>
      </c>
      <c r="C28" s="34" t="n">
        <f aca="false">MAX(C3:C27)</f>
        <v>86035</v>
      </c>
      <c r="D28" s="34" t="n">
        <f aca="false">MAX(D3:D27)</f>
        <v>86.03</v>
      </c>
      <c r="E28" s="34" t="n">
        <f aca="false">MAX(E3:E27)</f>
        <v>117</v>
      </c>
    </row>
    <row r="30" customFormat="false" ht="15.75" hidden="false" customHeight="true" outlineLevel="0" collapsed="false">
      <c r="A30" s="35" t="s">
        <v>50</v>
      </c>
      <c r="B30" s="36" t="n">
        <f aca="false">INDEX(A3:A27,MATCH(MAX(B3:B27),B3:B27,0))</f>
        <v>1750</v>
      </c>
    </row>
    <row r="31" customFormat="false" ht="15.75" hidden="false" customHeight="true" outlineLevel="0" collapsed="false">
      <c r="A31" s="35" t="s">
        <v>51</v>
      </c>
      <c r="B31" s="36" t="n">
        <f aca="false">INDEX(A3:A27,MATCH(MAX(C3:C27),C3:C27,0))</f>
        <v>4250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7" min="6" style="1" width="16"/>
    <col collapsed="false" customWidth="true" hidden="false" outlineLevel="0" max="8" min="8" style="1" width="14"/>
  </cols>
  <sheetData>
    <row r="1" customFormat="false" ht="30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</row>
    <row r="2" customFormat="false" ht="31.5" hidden="false" customHeight="true" outlineLevel="0" collapsed="false">
      <c r="A2" s="24" t="s">
        <v>53</v>
      </c>
      <c r="B2" s="24" t="s">
        <v>54</v>
      </c>
      <c r="C2" s="24" t="s">
        <v>55</v>
      </c>
      <c r="D2" s="24" t="s">
        <v>56</v>
      </c>
      <c r="E2" s="24" t="s">
        <v>57</v>
      </c>
      <c r="F2" s="24" t="s">
        <v>58</v>
      </c>
      <c r="G2" s="24" t="s">
        <v>59</v>
      </c>
      <c r="H2" s="24" t="s">
        <v>60</v>
      </c>
    </row>
    <row r="3" customFormat="false" ht="15.75" hidden="false" customHeight="true" outlineLevel="0" collapsed="false">
      <c r="A3" s="37" t="s">
        <v>61</v>
      </c>
      <c r="B3" s="26" t="n">
        <v>8.8</v>
      </c>
      <c r="C3" s="38" t="n">
        <v>10.399</v>
      </c>
      <c r="D3" s="25" t="n">
        <v>9</v>
      </c>
      <c r="E3" s="25" t="n">
        <v>62</v>
      </c>
      <c r="F3" s="25" t="n">
        <v>15</v>
      </c>
      <c r="G3" s="25" t="n">
        <v>37</v>
      </c>
      <c r="H3" s="39" t="n">
        <f aca="false">E3-D3</f>
        <v>53</v>
      </c>
    </row>
    <row r="4" customFormat="false" ht="15.75" hidden="false" customHeight="true" outlineLevel="0" collapsed="false">
      <c r="A4" s="40" t="s">
        <v>62</v>
      </c>
      <c r="B4" s="30" t="n">
        <v>16.2</v>
      </c>
      <c r="C4" s="41" t="n">
        <v>5.649</v>
      </c>
      <c r="D4" s="29" t="n">
        <v>16</v>
      </c>
      <c r="E4" s="29" t="n">
        <v>113</v>
      </c>
      <c r="F4" s="29" t="n">
        <v>28</v>
      </c>
      <c r="G4" s="29" t="n">
        <v>69</v>
      </c>
      <c r="H4" s="39" t="n">
        <f aca="false">E4-D4</f>
        <v>97</v>
      </c>
    </row>
    <row r="5" customFormat="false" ht="15.75" hidden="false" customHeight="true" outlineLevel="0" collapsed="false">
      <c r="A5" s="37" t="s">
        <v>63</v>
      </c>
      <c r="B5" s="26" t="n">
        <v>26.4</v>
      </c>
      <c r="C5" s="38" t="n">
        <v>3.466</v>
      </c>
      <c r="D5" s="25" t="n">
        <v>26</v>
      </c>
      <c r="E5" s="25" t="n">
        <v>185</v>
      </c>
      <c r="F5" s="25" t="n">
        <v>46</v>
      </c>
      <c r="G5" s="25" t="n">
        <v>112</v>
      </c>
      <c r="H5" s="39" t="n">
        <f aca="false">E5-D5</f>
        <v>159</v>
      </c>
    </row>
    <row r="6" customFormat="false" ht="15.75" hidden="false" customHeight="true" outlineLevel="0" collapsed="false">
      <c r="A6" s="40" t="s">
        <v>64</v>
      </c>
      <c r="B6" s="30" t="n">
        <v>36.9</v>
      </c>
      <c r="C6" s="41" t="n">
        <v>2.48</v>
      </c>
      <c r="D6" s="29" t="n">
        <v>37</v>
      </c>
      <c r="E6" s="29" t="n">
        <v>258</v>
      </c>
      <c r="F6" s="29" t="n">
        <v>65</v>
      </c>
      <c r="G6" s="29" t="n">
        <v>157</v>
      </c>
      <c r="H6" s="39" t="n">
        <f aca="false">E6-D6</f>
        <v>221</v>
      </c>
    </row>
    <row r="7" customFormat="false" ht="15.75" hidden="false" customHeight="true" outlineLevel="0" collapsed="false">
      <c r="A7" s="37" t="s">
        <v>65</v>
      </c>
      <c r="B7" s="26" t="n">
        <v>46</v>
      </c>
      <c r="C7" s="38" t="n">
        <v>1.989</v>
      </c>
      <c r="D7" s="25" t="n">
        <v>46</v>
      </c>
      <c r="E7" s="25" t="n">
        <v>322</v>
      </c>
      <c r="F7" s="25" t="n">
        <v>80</v>
      </c>
      <c r="G7" s="25" t="n">
        <v>196</v>
      </c>
      <c r="H7" s="39" t="n">
        <f aca="false">E7-D7</f>
        <v>276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28"/>
  </cols>
  <sheetData>
    <row r="1" customFormat="false" ht="30" hidden="false" customHeight="true" outlineLevel="0" collapsed="false">
      <c r="A1" s="2" t="s">
        <v>66</v>
      </c>
      <c r="B1" s="2"/>
      <c r="C1" s="2"/>
      <c r="D1" s="2"/>
    </row>
    <row r="3" customFormat="false" ht="21.75" hidden="false" customHeight="true" outlineLevel="0" collapsed="false">
      <c r="A3" s="3" t="s">
        <v>67</v>
      </c>
      <c r="B3" s="3"/>
      <c r="C3" s="3"/>
      <c r="D3" s="3"/>
    </row>
    <row r="4" customFormat="false" ht="15.75" hidden="false" customHeight="true" outlineLevel="0" collapsed="false">
      <c r="A4" s="4" t="s">
        <v>68</v>
      </c>
      <c r="B4" s="42" t="n">
        <v>203.2</v>
      </c>
    </row>
    <row r="5" customFormat="false" ht="15.75" hidden="false" customHeight="true" outlineLevel="0" collapsed="false">
      <c r="A5" s="43" t="s">
        <v>69</v>
      </c>
      <c r="B5" s="44" t="n">
        <v>1368</v>
      </c>
    </row>
    <row r="7" customFormat="false" ht="21.75" hidden="false" customHeight="true" outlineLevel="0" collapsed="false">
      <c r="A7" s="3" t="s">
        <v>70</v>
      </c>
      <c r="B7" s="3"/>
      <c r="C7" s="3"/>
      <c r="D7" s="3"/>
    </row>
    <row r="8" customFormat="false" ht="15.75" hidden="false" customHeight="true" outlineLevel="0" collapsed="false">
      <c r="A8" s="4" t="s">
        <v>71</v>
      </c>
      <c r="B8" s="45" t="n">
        <v>48.3</v>
      </c>
    </row>
    <row r="9" customFormat="false" ht="15.75" hidden="false" customHeight="true" outlineLevel="0" collapsed="false">
      <c r="A9" s="43" t="s">
        <v>72</v>
      </c>
      <c r="B9" s="46" t="n">
        <v>112</v>
      </c>
    </row>
    <row r="10" customFormat="false" ht="15.75" hidden="false" customHeight="true" outlineLevel="0" collapsed="false">
      <c r="A10" s="4" t="s">
        <v>73</v>
      </c>
      <c r="B10" s="47" t="n">
        <v>9639</v>
      </c>
    </row>
    <row r="12" customFormat="false" ht="21.75" hidden="false" customHeight="true" outlineLevel="0" collapsed="false">
      <c r="A12" s="3" t="s">
        <v>74</v>
      </c>
      <c r="B12" s="3"/>
      <c r="C12" s="3"/>
      <c r="D12" s="3"/>
    </row>
    <row r="13" customFormat="false" ht="19.5" hidden="false" customHeight="true" outlineLevel="0" collapsed="false">
      <c r="A13" s="24" t="s">
        <v>75</v>
      </c>
      <c r="B13" s="24" t="s">
        <v>76</v>
      </c>
      <c r="C13" s="24" t="s">
        <v>77</v>
      </c>
      <c r="D13" s="24" t="s">
        <v>78</v>
      </c>
    </row>
    <row r="14" customFormat="false" ht="15" hidden="false" customHeight="true" outlineLevel="0" collapsed="false">
      <c r="A14" s="5" t="s">
        <v>79</v>
      </c>
      <c r="B14" s="27" t="n">
        <v>362</v>
      </c>
      <c r="C14" s="48" t="n">
        <v>2.59</v>
      </c>
      <c r="D14" s="5" t="s">
        <v>80</v>
      </c>
    </row>
    <row r="15" customFormat="false" ht="15" hidden="false" customHeight="true" outlineLevel="0" collapsed="false">
      <c r="A15" s="7" t="s">
        <v>81</v>
      </c>
      <c r="B15" s="31" t="n">
        <v>471</v>
      </c>
      <c r="C15" s="32" t="n">
        <v>3.36</v>
      </c>
      <c r="D15" s="7"/>
    </row>
    <row r="16" customFormat="false" ht="15" hidden="false" customHeight="true" outlineLevel="0" collapsed="false">
      <c r="A16" s="5" t="s">
        <v>82</v>
      </c>
      <c r="B16" s="27" t="n">
        <v>604</v>
      </c>
      <c r="C16" s="28" t="n">
        <v>4.31</v>
      </c>
      <c r="D16" s="5" t="s">
        <v>83</v>
      </c>
    </row>
    <row r="17" customFormat="false" ht="15" hidden="false" customHeight="true" outlineLevel="0" collapsed="false">
      <c r="A17" s="7" t="s">
        <v>84</v>
      </c>
      <c r="B17" s="31" t="n">
        <v>761</v>
      </c>
      <c r="C17" s="32" t="n">
        <v>5.44</v>
      </c>
      <c r="D17" s="7"/>
    </row>
    <row r="18" customFormat="false" ht="15" hidden="false" customHeight="true" outlineLevel="0" collapsed="false">
      <c r="A18" s="5" t="s">
        <v>85</v>
      </c>
      <c r="B18" s="27" t="n">
        <v>943</v>
      </c>
      <c r="C18" s="28" t="n">
        <v>6.73</v>
      </c>
      <c r="D18" s="5"/>
    </row>
  </sheetData>
  <mergeCells count="4">
    <mergeCell ref="A1:D1"/>
    <mergeCell ref="A3:D3"/>
    <mergeCell ref="A7:D7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14"/>
  </cols>
  <sheetData>
    <row r="1" customFormat="false" ht="30" hidden="false" customHeight="true" outlineLevel="0" collapsed="false">
      <c r="A1" s="2" t="s">
        <v>86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87</v>
      </c>
      <c r="B2" s="3"/>
      <c r="C2" s="3"/>
      <c r="D2" s="3"/>
      <c r="E2" s="3"/>
      <c r="F2" s="3"/>
      <c r="G2" s="3"/>
    </row>
    <row r="3" customFormat="false" ht="36" hidden="false" customHeight="true" outlineLevel="0" collapsed="false">
      <c r="A3" s="24" t="s">
        <v>88</v>
      </c>
      <c r="B3" s="24" t="s">
        <v>89</v>
      </c>
      <c r="C3" s="24" t="s">
        <v>57</v>
      </c>
      <c r="D3" s="24" t="s">
        <v>90</v>
      </c>
      <c r="E3" s="24" t="s">
        <v>91</v>
      </c>
      <c r="F3" s="24" t="s">
        <v>92</v>
      </c>
      <c r="G3" s="24" t="s">
        <v>93</v>
      </c>
    </row>
    <row r="4" customFormat="false" ht="15.75" hidden="false" customHeight="true" outlineLevel="0" collapsed="false">
      <c r="A4" s="37" t="s">
        <v>94</v>
      </c>
      <c r="B4" s="5" t="s">
        <v>95</v>
      </c>
      <c r="C4" s="49" t="n">
        <v>203.2</v>
      </c>
      <c r="D4" s="5" t="s">
        <v>95</v>
      </c>
      <c r="E4" s="48" t="n">
        <v>4.31</v>
      </c>
      <c r="F4" s="5" t="s">
        <v>95</v>
      </c>
      <c r="G4" s="49" t="n">
        <v>48.3</v>
      </c>
    </row>
    <row r="5" customFormat="false" ht="15.75" hidden="false" customHeight="true" outlineLevel="0" collapsed="false">
      <c r="A5" s="7" t="s">
        <v>96</v>
      </c>
      <c r="B5" s="7" t="s">
        <v>97</v>
      </c>
      <c r="C5" s="30" t="n">
        <v>212.6</v>
      </c>
      <c r="D5" s="50" t="n">
        <v>9.4</v>
      </c>
      <c r="E5" s="32" t="n">
        <v>4.31</v>
      </c>
      <c r="F5" s="51" t="n">
        <v>0</v>
      </c>
      <c r="G5" s="30" t="n">
        <v>60.3</v>
      </c>
    </row>
    <row r="6" customFormat="false" ht="15.75" hidden="false" customHeight="true" outlineLevel="0" collapsed="false">
      <c r="A6" s="5" t="s">
        <v>98</v>
      </c>
      <c r="B6" s="5" t="s">
        <v>99</v>
      </c>
      <c r="C6" s="26" t="n">
        <v>220.6</v>
      </c>
      <c r="D6" s="52" t="n">
        <v>17.4</v>
      </c>
      <c r="E6" s="28" t="n">
        <v>4.31</v>
      </c>
      <c r="F6" s="53" t="n">
        <v>0</v>
      </c>
      <c r="G6" s="26" t="n">
        <v>81.7</v>
      </c>
    </row>
    <row r="7" customFormat="false" ht="15.75" hidden="false" customHeight="true" outlineLevel="0" collapsed="false">
      <c r="A7" s="7" t="s">
        <v>100</v>
      </c>
      <c r="B7" s="7" t="s">
        <v>101</v>
      </c>
      <c r="C7" s="30" t="n">
        <v>203.6</v>
      </c>
      <c r="D7" s="50" t="n">
        <v>0.4</v>
      </c>
      <c r="E7" s="32" t="n">
        <v>4.26</v>
      </c>
      <c r="F7" s="54" t="n">
        <v>-0.06</v>
      </c>
      <c r="G7" s="30" t="n">
        <v>53.5</v>
      </c>
    </row>
    <row r="8" customFormat="false" ht="15.75" hidden="false" customHeight="true" outlineLevel="0" collapsed="false">
      <c r="A8" s="5" t="s">
        <v>102</v>
      </c>
      <c r="B8" s="5" t="s">
        <v>103</v>
      </c>
      <c r="C8" s="26" t="n">
        <v>203.9</v>
      </c>
      <c r="D8" s="52" t="n">
        <v>0.7</v>
      </c>
      <c r="E8" s="28" t="n">
        <v>4.21</v>
      </c>
      <c r="F8" s="55" t="n">
        <v>-0.11</v>
      </c>
      <c r="G8" s="26" t="n">
        <v>59.4</v>
      </c>
    </row>
    <row r="9" customFormat="false" ht="15.75" hidden="false" customHeight="true" outlineLevel="0" collapsed="false">
      <c r="A9" s="7" t="s">
        <v>104</v>
      </c>
      <c r="B9" s="7" t="s">
        <v>105</v>
      </c>
      <c r="C9" s="30" t="n">
        <v>215.9</v>
      </c>
      <c r="D9" s="50" t="n">
        <v>12.7</v>
      </c>
      <c r="E9" s="32" t="n">
        <v>3.73</v>
      </c>
      <c r="F9" s="54" t="n">
        <v>-0.58</v>
      </c>
      <c r="G9" s="30" t="n">
        <v>48.3</v>
      </c>
    </row>
    <row r="10" customFormat="false" ht="15.75" hidden="false" customHeight="true" outlineLevel="0" collapsed="false">
      <c r="A10" s="5" t="s">
        <v>106</v>
      </c>
      <c r="B10" s="5" t="s">
        <v>107</v>
      </c>
      <c r="C10" s="26" t="n">
        <v>225.6</v>
      </c>
      <c r="D10" s="52" t="n">
        <v>22.4</v>
      </c>
      <c r="E10" s="28" t="n">
        <v>3.34</v>
      </c>
      <c r="F10" s="55" t="n">
        <v>-0.97</v>
      </c>
      <c r="G10" s="26" t="n">
        <v>48.3</v>
      </c>
    </row>
    <row r="11" customFormat="false" ht="15.75" hidden="false" customHeight="true" outlineLevel="0" collapsed="false">
      <c r="A11" s="7" t="s">
        <v>108</v>
      </c>
      <c r="B11" s="7" t="s">
        <v>109</v>
      </c>
      <c r="C11" s="30" t="n">
        <v>205.4</v>
      </c>
      <c r="D11" s="50" t="n">
        <v>2.2</v>
      </c>
      <c r="E11" s="32" t="n">
        <v>4.31</v>
      </c>
      <c r="F11" s="51" t="n">
        <v>0</v>
      </c>
      <c r="G11" s="30" t="n">
        <v>50.7</v>
      </c>
    </row>
    <row r="12" customFormat="false" ht="15.75" hidden="false" customHeight="true" outlineLevel="0" collapsed="false">
      <c r="A12" s="5" t="s">
        <v>110</v>
      </c>
      <c r="B12" s="5" t="s">
        <v>111</v>
      </c>
      <c r="C12" s="26" t="n">
        <v>227.4</v>
      </c>
      <c r="D12" s="52" t="n">
        <v>24.2</v>
      </c>
      <c r="E12" s="28" t="n">
        <v>3.66</v>
      </c>
      <c r="F12" s="55" t="n">
        <v>-0.65</v>
      </c>
      <c r="G12" s="26" t="n">
        <v>80.2</v>
      </c>
    </row>
    <row r="14" customFormat="false" ht="15" hidden="false" customHeight="false" outlineLevel="0" collapsed="false">
      <c r="A14" s="23" t="s">
        <v>112</v>
      </c>
      <c r="B14" s="23"/>
      <c r="C14" s="23"/>
      <c r="D14" s="23"/>
      <c r="E14" s="23"/>
      <c r="F14" s="23"/>
      <c r="G14" s="23"/>
    </row>
  </sheetData>
  <mergeCells count="3">
    <mergeCell ref="A1:G1"/>
    <mergeCell ref="A2:G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G16" activeCellId="0" sqref="G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6" min="2" style="1" width="10"/>
    <col collapsed="false" customWidth="true" hidden="false" outlineLevel="0" max="7" min="7" style="1" width="22"/>
  </cols>
  <sheetData>
    <row r="1" customFormat="false" ht="30" hidden="false" customHeight="true" outlineLevel="0" collapsed="false">
      <c r="A1" s="2" t="s">
        <v>113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24" t="s">
        <v>44</v>
      </c>
      <c r="B2" s="24" t="s">
        <v>114</v>
      </c>
      <c r="C2" s="24" t="s">
        <v>115</v>
      </c>
      <c r="D2" s="24" t="s">
        <v>116</v>
      </c>
      <c r="E2" s="24" t="s">
        <v>117</v>
      </c>
      <c r="F2" s="24" t="s">
        <v>118</v>
      </c>
      <c r="G2" s="24" t="s">
        <v>119</v>
      </c>
    </row>
    <row r="3" customFormat="false" ht="15" hidden="false" customHeight="true" outlineLevel="0" collapsed="false">
      <c r="A3" s="56" t="n">
        <v>1000</v>
      </c>
      <c r="B3" s="25" t="n">
        <v>9</v>
      </c>
      <c r="C3" s="25" t="n">
        <v>16</v>
      </c>
      <c r="D3" s="25" t="n">
        <v>26</v>
      </c>
      <c r="E3" s="25" t="n">
        <v>37</v>
      </c>
      <c r="F3" s="25" t="n">
        <v>46</v>
      </c>
      <c r="G3" s="5" t="s">
        <v>62</v>
      </c>
    </row>
    <row r="4" customFormat="false" ht="15" hidden="false" customHeight="true" outlineLevel="0" collapsed="false">
      <c r="A4" s="57" t="n">
        <v>1250</v>
      </c>
      <c r="B4" s="29" t="n">
        <v>11</v>
      </c>
      <c r="C4" s="29" t="n">
        <v>20</v>
      </c>
      <c r="D4" s="29" t="n">
        <v>33</v>
      </c>
      <c r="E4" s="29" t="n">
        <v>46</v>
      </c>
      <c r="F4" s="29" t="n">
        <v>58</v>
      </c>
      <c r="G4" s="7" t="s">
        <v>62</v>
      </c>
    </row>
    <row r="5" customFormat="false" ht="15" hidden="false" customHeight="true" outlineLevel="0" collapsed="false">
      <c r="A5" s="56" t="n">
        <v>1500</v>
      </c>
      <c r="B5" s="25" t="n">
        <v>13</v>
      </c>
      <c r="C5" s="25" t="n">
        <v>24</v>
      </c>
      <c r="D5" s="25" t="n">
        <v>40</v>
      </c>
      <c r="E5" s="25" t="n">
        <v>55</v>
      </c>
      <c r="F5" s="25" t="n">
        <v>69</v>
      </c>
      <c r="G5" s="5" t="s">
        <v>62</v>
      </c>
    </row>
    <row r="6" customFormat="false" ht="15" hidden="false" customHeight="true" outlineLevel="0" collapsed="false">
      <c r="A6" s="57" t="n">
        <v>1750</v>
      </c>
      <c r="B6" s="29" t="n">
        <v>15</v>
      </c>
      <c r="C6" s="29" t="n">
        <v>28</v>
      </c>
      <c r="D6" s="29" t="n">
        <v>46</v>
      </c>
      <c r="E6" s="29" t="n">
        <v>65</v>
      </c>
      <c r="F6" s="29" t="n">
        <v>80</v>
      </c>
      <c r="G6" s="7" t="s">
        <v>62</v>
      </c>
    </row>
    <row r="7" customFormat="false" ht="15" hidden="false" customHeight="true" outlineLevel="0" collapsed="false">
      <c r="A7" s="56" t="n">
        <v>2000</v>
      </c>
      <c r="B7" s="25" t="n">
        <v>18</v>
      </c>
      <c r="C7" s="25" t="n">
        <v>32</v>
      </c>
      <c r="D7" s="25" t="n">
        <v>53</v>
      </c>
      <c r="E7" s="25" t="n">
        <v>74</v>
      </c>
      <c r="F7" s="25" t="n">
        <v>92</v>
      </c>
      <c r="G7" s="5" t="s">
        <v>65</v>
      </c>
    </row>
    <row r="8" customFormat="false" ht="15" hidden="false" customHeight="true" outlineLevel="0" collapsed="false">
      <c r="A8" s="57" t="n">
        <v>2250</v>
      </c>
      <c r="B8" s="29" t="n">
        <v>20</v>
      </c>
      <c r="C8" s="29" t="n">
        <v>36</v>
      </c>
      <c r="D8" s="29" t="n">
        <v>59</v>
      </c>
      <c r="E8" s="29" t="n">
        <v>83</v>
      </c>
      <c r="F8" s="29" t="n">
        <v>103</v>
      </c>
      <c r="G8" s="7" t="s">
        <v>65</v>
      </c>
    </row>
    <row r="9" customFormat="false" ht="15" hidden="false" customHeight="true" outlineLevel="0" collapsed="false">
      <c r="A9" s="56" t="n">
        <v>2500</v>
      </c>
      <c r="B9" s="25" t="n">
        <v>22</v>
      </c>
      <c r="C9" s="25" t="n">
        <v>40</v>
      </c>
      <c r="D9" s="25" t="n">
        <v>66</v>
      </c>
      <c r="E9" s="25" t="n">
        <v>92</v>
      </c>
      <c r="F9" s="25" t="n">
        <v>115</v>
      </c>
      <c r="G9" s="5" t="s">
        <v>65</v>
      </c>
    </row>
    <row r="10" customFormat="false" ht="15" hidden="false" customHeight="true" outlineLevel="0" collapsed="false">
      <c r="A10" s="57" t="n">
        <v>2750</v>
      </c>
      <c r="B10" s="29" t="n">
        <v>24</v>
      </c>
      <c r="C10" s="29" t="n">
        <v>45</v>
      </c>
      <c r="D10" s="29" t="n">
        <v>73</v>
      </c>
      <c r="E10" s="29" t="n">
        <v>101</v>
      </c>
      <c r="F10" s="29" t="n">
        <v>126</v>
      </c>
      <c r="G10" s="7" t="s">
        <v>65</v>
      </c>
    </row>
    <row r="11" customFormat="false" ht="15" hidden="false" customHeight="true" outlineLevel="0" collapsed="false">
      <c r="A11" s="56" t="n">
        <v>3000</v>
      </c>
      <c r="B11" s="25" t="n">
        <v>26</v>
      </c>
      <c r="C11" s="25" t="n">
        <v>49</v>
      </c>
      <c r="D11" s="25" t="n">
        <v>79</v>
      </c>
      <c r="E11" s="25" t="n">
        <v>111</v>
      </c>
      <c r="F11" s="25" t="n">
        <v>138</v>
      </c>
      <c r="G11" s="5" t="s">
        <v>65</v>
      </c>
    </row>
    <row r="12" customFormat="false" ht="15" hidden="false" customHeight="true" outlineLevel="0" collapsed="false">
      <c r="A12" s="57" t="n">
        <v>3250</v>
      </c>
      <c r="B12" s="29" t="n">
        <v>29</v>
      </c>
      <c r="C12" s="29" t="n">
        <v>53</v>
      </c>
      <c r="D12" s="29" t="n">
        <v>86</v>
      </c>
      <c r="E12" s="29" t="n">
        <v>120</v>
      </c>
      <c r="F12" s="29" t="n">
        <v>150</v>
      </c>
      <c r="G12" s="7" t="s">
        <v>65</v>
      </c>
    </row>
    <row r="13" customFormat="false" ht="15" hidden="false" customHeight="true" outlineLevel="0" collapsed="false">
      <c r="A13" s="56" t="n">
        <v>3500</v>
      </c>
      <c r="B13" s="25" t="n">
        <v>31</v>
      </c>
      <c r="C13" s="25" t="n">
        <v>57</v>
      </c>
      <c r="D13" s="25" t="n">
        <v>92</v>
      </c>
      <c r="E13" s="25" t="n">
        <v>129</v>
      </c>
      <c r="F13" s="25" t="n">
        <v>161</v>
      </c>
      <c r="G13" s="5" t="s">
        <v>65</v>
      </c>
    </row>
    <row r="14" customFormat="false" ht="15" hidden="false" customHeight="true" outlineLevel="0" collapsed="false">
      <c r="A14" s="57" t="n">
        <v>3750</v>
      </c>
      <c r="B14" s="29" t="n">
        <v>33</v>
      </c>
      <c r="C14" s="29" t="n">
        <v>61</v>
      </c>
      <c r="D14" s="29" t="n">
        <v>99</v>
      </c>
      <c r="E14" s="29" t="n">
        <v>138</v>
      </c>
      <c r="F14" s="29" t="n">
        <v>172</v>
      </c>
      <c r="G14" s="7" t="s">
        <v>65</v>
      </c>
    </row>
    <row r="15" customFormat="false" ht="15" hidden="false" customHeight="true" outlineLevel="0" collapsed="false">
      <c r="A15" s="56" t="n">
        <v>4000</v>
      </c>
      <c r="B15" s="25" t="n">
        <v>35</v>
      </c>
      <c r="C15" s="25" t="n">
        <v>65</v>
      </c>
      <c r="D15" s="25" t="n">
        <v>106</v>
      </c>
      <c r="E15" s="25" t="n">
        <v>148</v>
      </c>
      <c r="F15" s="25" t="n">
        <v>184</v>
      </c>
      <c r="G15" s="5" t="s">
        <v>65</v>
      </c>
    </row>
    <row r="16" customFormat="false" ht="15" hidden="false" customHeight="true" outlineLevel="0" collapsed="false">
      <c r="A16" s="57" t="n">
        <v>4250</v>
      </c>
      <c r="B16" s="29" t="n">
        <v>37</v>
      </c>
      <c r="C16" s="29" t="n">
        <v>69</v>
      </c>
      <c r="D16" s="29" t="n">
        <v>112</v>
      </c>
      <c r="E16" s="29" t="n">
        <v>157</v>
      </c>
      <c r="F16" s="29" t="n">
        <v>196</v>
      </c>
      <c r="G16" s="7" t="s">
        <v>65</v>
      </c>
    </row>
    <row r="17" customFormat="false" ht="15" hidden="false" customHeight="true" outlineLevel="0" collapsed="false">
      <c r="A17" s="56" t="n">
        <v>4500</v>
      </c>
      <c r="B17" s="25" t="n">
        <v>40</v>
      </c>
      <c r="C17" s="25" t="n">
        <v>73</v>
      </c>
      <c r="D17" s="25" t="n">
        <v>119</v>
      </c>
      <c r="E17" s="25" t="n">
        <v>166</v>
      </c>
      <c r="F17" s="25" t="n">
        <v>207</v>
      </c>
      <c r="G17" s="5" t="s">
        <v>65</v>
      </c>
    </row>
    <row r="18" customFormat="false" ht="15" hidden="false" customHeight="true" outlineLevel="0" collapsed="false">
      <c r="A18" s="57" t="n">
        <v>4750</v>
      </c>
      <c r="B18" s="29" t="n">
        <v>42</v>
      </c>
      <c r="C18" s="29" t="n">
        <v>77</v>
      </c>
      <c r="D18" s="29" t="n">
        <v>125</v>
      </c>
      <c r="E18" s="29" t="n">
        <v>175</v>
      </c>
      <c r="F18" s="29" t="n">
        <v>219</v>
      </c>
      <c r="G18" s="7" t="s">
        <v>65</v>
      </c>
    </row>
    <row r="19" customFormat="false" ht="15" hidden="false" customHeight="true" outlineLevel="0" collapsed="false">
      <c r="A19" s="56" t="n">
        <v>5000</v>
      </c>
      <c r="B19" s="25" t="n">
        <v>44</v>
      </c>
      <c r="C19" s="25" t="n">
        <v>81</v>
      </c>
      <c r="D19" s="25" t="n">
        <v>132</v>
      </c>
      <c r="E19" s="25" t="n">
        <v>185</v>
      </c>
      <c r="F19" s="25" t="n">
        <v>230</v>
      </c>
      <c r="G19" s="5" t="s">
        <v>65</v>
      </c>
    </row>
    <row r="20" customFormat="false" ht="15" hidden="false" customHeight="true" outlineLevel="0" collapsed="false">
      <c r="A20" s="57" t="n">
        <v>5250</v>
      </c>
      <c r="B20" s="29" t="n">
        <v>46</v>
      </c>
      <c r="C20" s="29" t="n">
        <v>85</v>
      </c>
      <c r="D20" s="29" t="n">
        <v>139</v>
      </c>
      <c r="E20" s="29" t="n">
        <v>194</v>
      </c>
      <c r="F20" s="29" t="n">
        <v>242</v>
      </c>
      <c r="G20" s="7" t="s">
        <v>65</v>
      </c>
    </row>
    <row r="21" customFormat="false" ht="15" hidden="false" customHeight="true" outlineLevel="0" collapsed="false">
      <c r="A21" s="56" t="n">
        <v>5500</v>
      </c>
      <c r="B21" s="25" t="n">
        <v>48</v>
      </c>
      <c r="C21" s="25" t="n">
        <v>89</v>
      </c>
      <c r="D21" s="25" t="n">
        <v>145</v>
      </c>
      <c r="E21" s="25" t="n">
        <v>203</v>
      </c>
      <c r="F21" s="25" t="n">
        <v>253</v>
      </c>
      <c r="G21" s="5" t="s">
        <v>65</v>
      </c>
    </row>
    <row r="22" customFormat="false" ht="15" hidden="false" customHeight="true" outlineLevel="0" collapsed="false">
      <c r="A22" s="57" t="n">
        <v>5750</v>
      </c>
      <c r="B22" s="29" t="n">
        <v>51</v>
      </c>
      <c r="C22" s="29" t="n">
        <v>93</v>
      </c>
      <c r="D22" s="29" t="n">
        <v>152</v>
      </c>
      <c r="E22" s="29" t="n">
        <v>212</v>
      </c>
      <c r="F22" s="29" t="n">
        <v>265</v>
      </c>
      <c r="G22" s="7" t="s">
        <v>65</v>
      </c>
    </row>
    <row r="23" customFormat="false" ht="15" hidden="false" customHeight="true" outlineLevel="0" collapsed="false">
      <c r="A23" s="56" t="n">
        <v>6000</v>
      </c>
      <c r="B23" s="25" t="n">
        <v>53</v>
      </c>
      <c r="C23" s="25" t="n">
        <v>97</v>
      </c>
      <c r="D23" s="25" t="n">
        <v>158</v>
      </c>
      <c r="E23" s="25" t="n">
        <v>221</v>
      </c>
      <c r="F23" s="25" t="n">
        <v>276</v>
      </c>
      <c r="G23" s="5" t="s">
        <v>65</v>
      </c>
    </row>
    <row r="24" customFormat="false" ht="15" hidden="false" customHeight="true" outlineLevel="0" collapsed="false">
      <c r="A24" s="57" t="n">
        <v>6250</v>
      </c>
      <c r="B24" s="29" t="n">
        <v>55</v>
      </c>
      <c r="C24" s="29" t="n">
        <v>101</v>
      </c>
      <c r="D24" s="29" t="n">
        <v>165</v>
      </c>
      <c r="E24" s="29" t="n">
        <v>231</v>
      </c>
      <c r="F24" s="29" t="n">
        <v>288</v>
      </c>
      <c r="G24" s="7" t="s">
        <v>65</v>
      </c>
    </row>
    <row r="25" customFormat="false" ht="15" hidden="false" customHeight="true" outlineLevel="0" collapsed="false">
      <c r="A25" s="56" t="n">
        <v>6500</v>
      </c>
      <c r="B25" s="25" t="n">
        <v>57</v>
      </c>
      <c r="C25" s="25" t="n">
        <v>105</v>
      </c>
      <c r="D25" s="25" t="n">
        <v>172</v>
      </c>
      <c r="E25" s="25" t="n">
        <v>240</v>
      </c>
      <c r="F25" s="25" t="n">
        <v>299</v>
      </c>
      <c r="G25" s="5" t="s">
        <v>65</v>
      </c>
    </row>
    <row r="26" customFormat="false" ht="15" hidden="false" customHeight="true" outlineLevel="0" collapsed="false">
      <c r="A26" s="57" t="n">
        <v>6750</v>
      </c>
      <c r="B26" s="29" t="n">
        <v>59</v>
      </c>
      <c r="C26" s="29" t="n">
        <v>109</v>
      </c>
      <c r="D26" s="29" t="n">
        <v>178</v>
      </c>
      <c r="E26" s="29" t="n">
        <v>249</v>
      </c>
      <c r="F26" s="29" t="n">
        <v>311</v>
      </c>
      <c r="G26" s="7" t="s">
        <v>65</v>
      </c>
    </row>
    <row r="27" customFormat="false" ht="15" hidden="false" customHeight="true" outlineLevel="0" collapsed="false">
      <c r="A27" s="56" t="n">
        <v>7000</v>
      </c>
      <c r="B27" s="25" t="n">
        <v>62</v>
      </c>
      <c r="C27" s="25" t="n">
        <v>113</v>
      </c>
      <c r="D27" s="25" t="n">
        <v>185</v>
      </c>
      <c r="E27" s="25" t="n">
        <v>258</v>
      </c>
      <c r="F27" s="25" t="n">
        <v>322</v>
      </c>
      <c r="G27" s="5" t="s">
        <v>65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2026-03-25T08:20:02Z</dcterms:created>
  <dc:creator>openpyxl</dc:creator>
  <dc:description/>
  <dc:language>en-US</dc:language>
  <cp:lastModifiedBy/>
  <dcterms:modified xsi:type="dcterms:W3CDTF">2026-04-22T12:55:56Z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