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  <sheet name="margenes" sheetId="6" state="visible" r:id="rId6"/>
    <sheet name="grafico_barras" sheetId="7" state="visible" r:id="rId7"/>
    <sheet name="grafico_lineas" sheetId="8" state="visible" r:id="rId8"/>
    <sheet name="grafico_circular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#,##0.00 €"/>
    <numFmt numFmtId="166" formatCode="#,##0.00 €"/>
    <numFmt numFmtId="167" formatCode="#,##0.00 €"/>
    <numFmt numFmtId="168" formatCode="#,##0.00 €"/>
    <numFmt numFmtId="169" formatCode="#,##0.00 €"/>
    <numFmt numFmtId="170" formatCode="#,##0.00 €"/>
    <numFmt numFmtId="171" formatCode="DD\/MM\/YYYY"/>
    <numFmt numFmtId="172" formatCode="#,##0.00 €"/>
    <numFmt numFmtId="173" formatCode="#,##0.00 €"/>
    <numFmt numFmtId="174" formatCode="#,##0.00 €"/>
    <numFmt numFmtId="175" formatCode="#,##0.00 €"/>
    <numFmt numFmtId="176" formatCode="#,##0.00 €"/>
    <numFmt numFmtId="177" formatCode="#,##0.00 €"/>
    <numFmt numFmtId="178" formatCode="#,##0.00 €"/>
    <numFmt numFmtId="179" formatCode="#,##0.00 €"/>
    <numFmt numFmtId="180" formatCode="#,##0.00 €"/>
    <numFmt numFmtId="181" formatCode="#,##0.00 €"/>
    <numFmt numFmtId="18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88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  <xf applyBorder="1" applyFill="1" applyFont="1" borderId="1" fillId="2" fontId="1" numFmtId="0" xfId="0"/>
    <xf applyBorder="1" applyFill="1" applyFont="1" borderId="2" fillId="2" fontId="1" numFmtId="0" xfId="0"/>
    <xf applyBorder="1" applyFont="1" borderId="3" fillId="0" fontId="2" numFmtId="0" xfId="0"/>
    <xf applyBorder="1" borderId="4" fillId="0" fontId="0" numFmtId="0" xfId="0"/>
    <xf applyBorder="1" applyFont="1" borderId="5" fillId="0" fontId="2" numFmtId="0" xfId="0"/>
    <xf applyBorder="1" borderId="6" fillId="0" fontId="0" numFmtId="0" xfId="0"/>
    <xf applyBorder="1" applyFill="1" applyFont="1" borderId="7" fillId="2" fontId="1" numFmtId="0" xfId="0"/>
    <xf applyBorder="1" borderId="8" fillId="0" fontId="0" numFmtId="0" xfId="0"/>
    <xf applyBorder="1" applyFont="1" borderId="8" fillId="0" fontId="3" numFmtId="0" xfId="0"/>
    <xf applyBorder="1" borderId="9" fillId="0" fontId="0" numFmtId="0" xfId="0"/>
    <xf applyBorder="1" applyFont="1" borderId="9" fillId="0" fontId="3" numFmtId="0" xfId="0"/>
    <xf applyBorder="1" applyFill="1" applyFont="1" borderId="1" fillId="2" fontId="1" numFmtId="0" xfId="0">
      <alignment horizontal="center" vertical="center"/>
    </xf>
    <xf applyBorder="1" applyFill="1" applyFont="1" borderId="7" fillId="2" fontId="1" numFmtId="0" xfId="0">
      <alignment horizontal="center" vertical="center"/>
    </xf>
    <xf applyBorder="1" applyFill="1" applyFont="1" borderId="2" fillId="2" fontId="1" numFmtId="0" xfId="0">
      <alignment horizontal="center" vertical="center"/>
    </xf>
    <xf applyBorder="1" borderId="9" fillId="0" fontId="0" numFmtId="0" xfId="0">
      <alignment horizontal="center"/>
    </xf>
    <xf applyBorder="1" applyFont="1" borderId="9" fillId="0" fontId="3" numFmtId="0" xfId="0">
      <alignment horizontal="center"/>
    </xf>
    <xf applyBorder="1" borderId="6" fillId="0" fontId="0" numFmtId="0" xfId="0">
      <alignment horizontal="center"/>
    </xf>
    <xf applyBorder="1" borderId="8" fillId="0" fontId="0" numFmtId="0" xfId="0">
      <alignment horizontal="center"/>
    </xf>
    <xf applyBorder="1" applyFont="1" borderId="8" fillId="0" fontId="3" numFmtId="0" xfId="0">
      <alignment horizontal="center"/>
    </xf>
    <xf applyBorder="1" borderId="4" fillId="0" fontId="0" numFmtId="0" xfId="0">
      <alignment horizontal="center"/>
    </xf>
    <xf applyFill="1" applyFont="1" borderId="0" fillId="3" fontId="4" numFmtId="0" xfId="0">
      <alignment horizontal="center" vertical="center"/>
    </xf>
    <xf applyBorder="1" applyFill="1" applyFont="1" borderId="10" fillId="5" fontId="6" numFmtId="0" xfId="0"/>
    <xf applyBorder="1" applyFill="1" applyFont="1" borderId="11" fillId="5" fontId="6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applyFill="1" applyFont="1" borderId="10" fillId="5" fontId="6" numFmtId="0" xfId="0">
      <alignment horizontal="center"/>
    </xf>
    <xf applyBorder="1" applyFill="1" applyFont="1" borderId="11" fillId="5" fontId="6" numFmtId="0" xfId="0">
      <alignment horizontal="center"/>
    </xf>
    <xf applyBorder="1" borderId="14" fillId="0" fontId="0" numFmtId="0" xfId="0">
      <alignment horizontal="center"/>
    </xf>
    <xf applyBorder="1" borderId="15" fillId="0" fontId="0" numFmtId="0" xfId="0">
      <alignment horizontal="center"/>
    </xf>
    <xf applyBorder="1" borderId="12" fillId="0" fontId="0" numFmtId="0" xfId="0">
      <alignment horizontal="center"/>
    </xf>
    <xf applyBorder="1" borderId="13" fillId="0" fontId="0" numFmtId="0" xfId="0">
      <alignment horizontal="center"/>
    </xf>
    <xf borderId="0" fillId="0" fontId="0" numFmtId="0" xfId="0">
      <alignment horizontal="center"/>
    </xf>
    <xf applyBorder="1" applyFill="1" applyFont="1" borderId="16" fillId="5" fontId="6" numFmtId="0" xfId="0"/>
    <xf applyBorder="1" applyFill="1" applyFont="1" borderId="17" fillId="5" fontId="6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applyFill="1" applyFont="1" borderId="16" fillId="5" fontId="6" numFmtId="0" xfId="0">
      <alignment horizontal="center"/>
    </xf>
    <xf applyBorder="1" applyFill="1" applyFont="1" borderId="17" fillId="5" fontId="6" numFmtId="0" xfId="0">
      <alignment horizontal="center"/>
    </xf>
    <xf applyBorder="1" borderId="20" fillId="0" fontId="0" numFmtId="0" xfId="0">
      <alignment horizontal="center"/>
    </xf>
    <xf applyBorder="1" borderId="21" fillId="0" fontId="0" numFmtId="0" xfId="0">
      <alignment horizontal="center"/>
    </xf>
    <xf applyBorder="1" borderId="18" fillId="0" fontId="0" numFmtId="0" xfId="0">
      <alignment horizontal="center"/>
    </xf>
    <xf applyBorder="1" borderId="19" fillId="0" fontId="0" numFmtId="0" xfId="0">
      <alignment horizontal="center"/>
    </xf>
    <xf applyBorder="1" applyFill="1" applyFont="1" borderId="22" fillId="5" fontId="6" numFmtId="0" xfId="0"/>
    <xf applyBorder="1" applyFill="1" applyFont="1" borderId="23" fillId="5" fontId="6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applyFill="1" applyFont="1" borderId="22" fillId="5" fontId="6" numFmtId="0" xfId="0">
      <alignment horizontal="center"/>
    </xf>
    <xf applyBorder="1" applyFill="1" applyFont="1" borderId="23" fillId="5" fontId="6" numFmtId="0" xfId="0">
      <alignment horizontal="center"/>
    </xf>
    <xf applyBorder="1" borderId="26" fillId="0" fontId="0" numFmtId="0" xfId="0">
      <alignment horizontal="center"/>
    </xf>
    <xf applyBorder="1" borderId="27" fillId="0" fontId="0" numFmtId="0" xfId="0">
      <alignment horizontal="center"/>
    </xf>
    <xf applyBorder="1" borderId="24" fillId="0" fontId="0" numFmtId="0" xfId="0">
      <alignment horizontal="center"/>
    </xf>
    <xf applyBorder="1" borderId="25" fillId="0" fontId="0" numFmtId="0" xfId="0">
      <alignment horizontal="center"/>
    </xf>
    <xf applyBorder="1" applyFont="1" applyNumberFormat="1" borderId="9" fillId="0" fontId="3" numFmtId="165" xfId="0">
      <alignment horizontal="center"/>
    </xf>
    <xf applyBorder="1" applyNumberFormat="1" borderId="6" fillId="0" fontId="0" numFmtId="166" xfId="0">
      <alignment horizontal="center"/>
    </xf>
    <xf applyBorder="1" applyFont="1" applyNumberFormat="1" borderId="8" fillId="0" fontId="3" numFmtId="167" xfId="0">
      <alignment horizontal="center"/>
    </xf>
    <xf applyBorder="1" applyNumberFormat="1" borderId="4" fillId="0" fontId="0" numFmtId="168" xfId="0">
      <alignment horizontal="center"/>
    </xf>
    <xf applyFill="1" applyFont="1" applyNumberFormat="1" borderId="0" fillId="4" fontId="5" numFmtId="169" xfId="0"/>
    <xf applyNumberFormat="1" borderId="0" fillId="0" fontId="0" numFmtId="170" xfId="0"/>
    <xf applyNumberFormat="1" borderId="0" fillId="0" fontId="0" numFmtId="171" xfId="0"/>
    <xf applyBorder="1" applyNumberFormat="1" borderId="15" fillId="0" fontId="0" numFmtId="172" xfId="0">
      <alignment horizontal="center"/>
    </xf>
    <xf applyBorder="1" applyNumberFormat="1" borderId="13" fillId="0" fontId="0" numFmtId="173" xfId="0">
      <alignment horizontal="center"/>
    </xf>
    <xf applyNumberFormat="1" borderId="0" fillId="0" fontId="0" numFmtId="174" xfId="0">
      <alignment horizontal="center"/>
    </xf>
    <xf applyBorder="1" applyNumberFormat="1" borderId="21" fillId="0" fontId="0" numFmtId="175" xfId="0">
      <alignment horizontal="center"/>
    </xf>
    <xf applyBorder="1" applyNumberFormat="1" borderId="19" fillId="0" fontId="0" numFmtId="176" xfId="0">
      <alignment horizontal="center"/>
    </xf>
    <xf applyNumberFormat="1" borderId="0" fillId="0" fontId="0" numFmtId="177" xfId="0">
      <alignment horizontal="center"/>
    </xf>
    <xf applyBorder="1" applyNumberFormat="1" borderId="27" fillId="0" fontId="0" numFmtId="178" xfId="0">
      <alignment horizontal="center"/>
    </xf>
    <xf applyBorder="1" applyNumberFormat="1" borderId="25" fillId="0" fontId="0" numFmtId="179" xfId="0">
      <alignment horizontal="center"/>
    </xf>
    <xf applyNumberFormat="1" borderId="0" fillId="0" fontId="0" numFmtId="180" xfId="0">
      <alignment horizontal="center"/>
    </xf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2">
    <dxf>
      <fill>
        <patternFill patternType="solid">
          <bgColor rgb="FFFFC7CE"/>
        </patternFill>
      </fill>
    </dxf>
    <dxf>
      <fill>
        <patternFill patternType="solid">
          <bgColor rgb="FF63BE7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14</xdr:col>
      <xdr:colOff>0</xdr:colOff>
      <xdr:row>24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14</xdr:col>
      <xdr:colOff>0</xdr:colOff>
      <xdr:row>24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9</xdr:col>
      <xdr:colOff>0</xdr:colOff>
      <xdr:row>24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39" t="inlineStr">
        <is>
          <t>dia</t>
        </is>
      </c>
      <c r="B1" s="40" t="inlineStr">
        <is>
          <t>ingreso</t>
        </is>
      </c>
    </row>
    <row r="2">
      <c r="A2" s="41">
        <v>1</v>
      </c>
      <c r="B2" s="77">
        <v>2044.44</v>
      </c>
    </row>
    <row r="3">
      <c r="A3" s="41">
        <v>2</v>
      </c>
      <c r="B3" s="77">
        <v>2011.39</v>
      </c>
    </row>
    <row r="4">
      <c r="A4" s="41">
        <v>3</v>
      </c>
      <c r="B4" s="77">
        <v>2309.34</v>
      </c>
    </row>
    <row r="5">
      <c r="A5" s="41">
        <v>4</v>
      </c>
      <c r="B5" s="77">
        <v>1567.27</v>
      </c>
    </row>
    <row r="6">
      <c r="A6" s="43">
        <v>5</v>
      </c>
      <c r="B6" s="78">
        <v>1569.15</v>
      </c>
    </row>
    <row r="7">
      <c r="A7" s="45">
        <v>6</v>
      </c>
      <c r="B7" s="79">
        <v>2078.69</v>
      </c>
    </row>
    <row r="8">
      <c r="A8" s="45">
        <v>7</v>
      </c>
      <c r="B8" s="79">
        <v>2219.23</v>
      </c>
    </row>
    <row r="9">
      <c r="A9" s="45">
        <v>8</v>
      </c>
      <c r="B9" s="79">
        <v>2395.88</v>
      </c>
    </row>
    <row r="10">
      <c r="A10" s="45">
        <v>9</v>
      </c>
      <c r="B10" s="79">
        <v>2193.28</v>
      </c>
    </row>
    <row r="11">
      <c r="A11" s="45">
        <v>10</v>
      </c>
      <c r="B11" s="79">
        <v>1408.44</v>
      </c>
    </row>
    <row r="12">
      <c r="A12" s="45">
        <v>11</v>
      </c>
      <c r="B12" s="79">
        <v>1656.34</v>
      </c>
    </row>
    <row r="13">
      <c r="A13" s="45">
        <v>12</v>
      </c>
      <c r="B13" s="79">
        <v>2116.57</v>
      </c>
    </row>
    <row r="14">
      <c r="A14" s="45">
        <v>13</v>
      </c>
      <c r="B14" s="79">
        <v>1559.63</v>
      </c>
    </row>
    <row r="15">
      <c r="A15" s="45">
        <v>14</v>
      </c>
      <c r="B15" s="79">
        <v>2279.57</v>
      </c>
    </row>
    <row r="16">
      <c r="A16" s="45">
        <v>15</v>
      </c>
      <c r="B16" s="79">
        <v>1846.1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52" t="inlineStr">
        <is>
          <t>dia</t>
        </is>
      </c>
      <c r="B1" s="53" t="inlineStr">
        <is>
          <t>ingreso</t>
        </is>
      </c>
    </row>
    <row r="2">
      <c r="A2" s="54">
        <v>1</v>
      </c>
      <c r="B2" s="80">
        <v>1307.39</v>
      </c>
    </row>
    <row r="3">
      <c r="A3" s="54">
        <v>2</v>
      </c>
      <c r="B3" s="80">
        <v>1174.97</v>
      </c>
    </row>
    <row r="4">
      <c r="A4" s="54">
        <v>3</v>
      </c>
      <c r="B4" s="80">
        <v>1887.81</v>
      </c>
    </row>
    <row r="5">
      <c r="A5" s="54">
        <v>4</v>
      </c>
      <c r="B5" s="80">
        <v>1555.65</v>
      </c>
    </row>
    <row r="6">
      <c r="A6" s="56">
        <v>5</v>
      </c>
      <c r="B6" s="81">
        <v>1021.72</v>
      </c>
    </row>
    <row r="7">
      <c r="A7" s="45">
        <v>6</v>
      </c>
      <c r="B7" s="82">
        <v>2028.71</v>
      </c>
    </row>
    <row r="8">
      <c r="A8" s="45">
        <v>7</v>
      </c>
      <c r="B8" s="82">
        <v>2157.34</v>
      </c>
    </row>
    <row r="9">
      <c r="A9" s="45">
        <v>8</v>
      </c>
      <c r="B9" s="82">
        <v>1970.61</v>
      </c>
    </row>
    <row r="10">
      <c r="A10" s="45">
        <v>9</v>
      </c>
      <c r="B10" s="82">
        <v>2412.41</v>
      </c>
    </row>
    <row r="11">
      <c r="A11" s="45">
        <v>10</v>
      </c>
      <c r="B11" s="82">
        <v>1129.82</v>
      </c>
    </row>
    <row r="12">
      <c r="A12" s="45">
        <v>11</v>
      </c>
      <c r="B12" s="82">
        <v>2187.71</v>
      </c>
    </row>
    <row r="13">
      <c r="A13" s="45">
        <v>12</v>
      </c>
      <c r="B13" s="82">
        <v>2167.28</v>
      </c>
    </row>
    <row r="14">
      <c r="A14" s="45">
        <v>13</v>
      </c>
      <c r="B14" s="82">
        <v>2219.59</v>
      </c>
    </row>
    <row r="15">
      <c r="A15" s="45">
        <v>14</v>
      </c>
      <c r="B15" s="82">
        <v>2016.81</v>
      </c>
    </row>
    <row r="16">
      <c r="A16" s="45">
        <v>15</v>
      </c>
      <c r="B16" s="82">
        <v>1661.02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64" t="inlineStr">
        <is>
          <t>dia</t>
        </is>
      </c>
      <c r="B1" s="65" t="inlineStr">
        <is>
          <t>ingreso</t>
        </is>
      </c>
    </row>
    <row r="2">
      <c r="A2" s="66">
        <v>1</v>
      </c>
      <c r="B2" s="83">
        <v>1476.49</v>
      </c>
    </row>
    <row r="3">
      <c r="A3" s="66">
        <v>2</v>
      </c>
      <c r="B3" s="83">
        <v>2086.01</v>
      </c>
    </row>
    <row r="4">
      <c r="A4" s="66">
        <v>3</v>
      </c>
      <c r="B4" s="83">
        <v>1871.72</v>
      </c>
    </row>
    <row r="5">
      <c r="A5" s="66">
        <v>4</v>
      </c>
      <c r="B5" s="83">
        <v>1715.41</v>
      </c>
    </row>
    <row r="6">
      <c r="A6" s="68">
        <v>5</v>
      </c>
      <c r="B6" s="84">
        <v>2286.11</v>
      </c>
    </row>
    <row r="7">
      <c r="A7" s="45">
        <v>6</v>
      </c>
      <c r="B7" s="85">
        <v>2308.38</v>
      </c>
    </row>
    <row r="8">
      <c r="A8" s="45">
        <v>7</v>
      </c>
      <c r="B8" s="85">
        <v>1271.57</v>
      </c>
    </row>
    <row r="9">
      <c r="A9" s="45">
        <v>8</v>
      </c>
      <c r="B9" s="85">
        <v>1070.99</v>
      </c>
    </row>
    <row r="10">
      <c r="A10" s="45">
        <v>9</v>
      </c>
      <c r="B10" s="85">
        <v>1912.27</v>
      </c>
    </row>
    <row r="11">
      <c r="A11" s="45">
        <v>10</v>
      </c>
      <c r="B11" s="85">
        <v>2317.21</v>
      </c>
    </row>
    <row r="12">
      <c r="A12" s="45">
        <v>11</v>
      </c>
      <c r="B12" s="85">
        <v>1924.66</v>
      </c>
    </row>
    <row r="13">
      <c r="A13" s="45">
        <v>12</v>
      </c>
      <c r="B13" s="85">
        <v>1841.91</v>
      </c>
    </row>
    <row r="14">
      <c r="A14" s="45">
        <v>13</v>
      </c>
      <c r="B14" s="85">
        <v>1354.71</v>
      </c>
    </row>
    <row r="15">
      <c r="A15" s="45">
        <v>14</v>
      </c>
      <c r="B15" s="85">
        <v>1840.12</v>
      </c>
    </row>
    <row r="16">
      <c r="A16" s="45">
        <v>15</v>
      </c>
      <c r="B16" s="85">
        <v>1037.31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2.711"/>
    <col min="3" max="3" bestFit="1" customWidth="1" hidden="false" width="10.711"/>
    <col min="4" max="4" bestFit="1" customWidth="1" hidden="false" width="12.711"/>
  </cols>
  <sheetData>
    <row r="1" ht="30" customHeight="1">
      <c r="A1" s="23" t="inlineStr">
        <is>
          <t>producto</t>
        </is>
      </c>
      <c r="B1" s="24" t="inlineStr">
        <is>
          <t>cantidad</t>
        </is>
      </c>
      <c r="C1" s="24" t="inlineStr">
        <is>
          <t>precio</t>
        </is>
      </c>
      <c r="D1" s="25" t="inlineStr">
        <is>
          <t>importe</t>
        </is>
      </c>
      <c r="E1" t="inlineStr">
        <is>
          <t>nivel</t>
        </is>
      </c>
    </row>
    <row r="2">
      <c r="A2" s="16" t="inlineStr">
        <is>
          <t>Manzanas</t>
        </is>
      </c>
      <c r="B2" s="26">
        <v>120</v>
      </c>
      <c r="C2" s="70">
        <v>1.5</v>
      </c>
      <c r="D2" s="71">
        <v>180</v>
      </c>
      <c r="E2" t="str">
        <f>IF(B2&gt;=100, "Alto", "Bajo")</f>
      </c>
    </row>
    <row r="3">
      <c r="A3" s="16" t="inlineStr">
        <is>
          <t>Plátanos</t>
        </is>
      </c>
      <c r="B3" s="26">
        <v>85</v>
      </c>
      <c r="C3" s="70">
        <v>0.9</v>
      </c>
      <c r="D3" s="71">
        <v>76.5</v>
      </c>
      <c r="E3" t="str">
        <f>IF(B3&gt;=100, "Alto", "Bajo")</f>
      </c>
    </row>
    <row r="4">
      <c r="A4" s="14" t="inlineStr">
        <is>
          <t>Naranjas</t>
        </is>
      </c>
      <c r="B4" s="29">
        <v>200</v>
      </c>
      <c r="C4" s="72">
        <v>1.2</v>
      </c>
      <c r="D4" s="73">
        <v>240</v>
      </c>
      <c r="E4" t="str">
        <f>IF(B4&gt;=100, "Alto", "Bajo")</f>
      </c>
    </row>
  </sheetData>
  <conditionalFormatting sqref="B2:B4">
    <cfRule type="expression" dxfId="0" priority="1">
      <formula>B2&lt;100</formula>
    </cfRule>
    <cfRule type="expression" dxfId="1" priority="2">
      <formula>B2&gt;=150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4.711"/>
  </cols>
  <sheetData>
    <row r="1" ht="40" customHeight="1">
      <c r="A1" s="32" t="inlineStr">
        <is>
          <t>Resumen trimestral</t>
        </is>
      </c>
    </row>
    <row r="3">
      <c r="A3" s="9" t="inlineStr">
        <is>
          <t>enero</t>
        </is>
      </c>
      <c r="B3" s="74">
        <v>29255.32</v>
      </c>
    </row>
    <row r="4">
      <c r="A4" t="inlineStr">
        <is>
          <t>febrero</t>
        </is>
      </c>
      <c r="B4" s="75">
        <v>26898.84</v>
      </c>
    </row>
    <row r="5">
      <c r="A5" t="inlineStr">
        <is>
          <t>marzo</t>
        </is>
      </c>
      <c r="B5" s="7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76">
        <v>46100</v>
      </c>
    </row>
    <row r="12">
      <c r="A12" t="inlineStr">
        <is>
          <t>Coste total:</t>
        </is>
      </c>
      <c r="B12" t="str">
        <f>SUM(margenes!B2:B4)</f>
      </c>
    </row>
    <row r="13">
      <c r="A13" t="inlineStr">
        <is>
          <t>Media enero:</t>
        </is>
      </c>
      <c r="B13" t="str">
        <f>AVERAGE(enero!B2:B16)</f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coste</t>
        </is>
      </c>
      <c r="C1" t="inlineStr">
        <is>
          <t>pvp</t>
        </is>
      </c>
      <c r="D1" t="inlineStr">
        <is>
          <t>margen_pct</t>
        </is>
      </c>
      <c r="E1" t="inlineStr">
        <is>
          <t>beneficio</t>
        </is>
      </c>
    </row>
    <row r="2">
      <c r="A2" t="inlineStr">
        <is>
          <t>Manzanas</t>
        </is>
      </c>
      <c r="B2" s="86">
        <v>0.8</v>
      </c>
      <c r="C2" s="86">
        <v>1.5</v>
      </c>
      <c r="D2" s="87">
        <v>0.133</v>
      </c>
      <c r="E2" t="str">
        <f>C2-B2</f>
      </c>
    </row>
    <row r="3">
      <c r="A3" t="inlineStr">
        <is>
          <t>Plátanos</t>
        </is>
      </c>
      <c r="B3" s="86">
        <v>0.4</v>
      </c>
      <c r="C3" s="86">
        <v>0.9</v>
      </c>
      <c r="D3" s="87">
        <v>0.667</v>
      </c>
      <c r="E3" t="str">
        <f>C3-B3</f>
      </c>
    </row>
    <row r="4">
      <c r="A4" t="inlineStr">
        <is>
          <t>Naranjas</t>
        </is>
      </c>
      <c r="B4" s="86">
        <v>0.5</v>
      </c>
      <c r="C4" s="86">
        <v>1.2</v>
      </c>
      <c r="D4" s="87">
        <v>0.417</v>
      </c>
      <c r="E4" t="str">
        <f>C4-B4</f>
      </c>
    </row>
    <row r="6">
      <c r="A6" t="inlineStr">
        <is>
          <t>TOTALES</t>
        </is>
      </c>
      <c r="B6" t="str">
        <f>SUM(B2:B4)</f>
      </c>
      <c r="C6" t="str">
        <f>SUM(C2:C4)</f>
      </c>
      <c r="D6" t="str">
        <f>AVERAGE(D2:D4)</f>
      </c>
      <c r="E6" t="str">
        <f>SUM(E2:E4)</f>
      </c>
    </row>
  </sheetData>
  <conditionalFormatting sqref="D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">
    <cfRule type="dataBar" priority="2">
      <dataBar showValue="1">
        <cfvo type="min"/>
        <cfvo type="max"/>
        <color rgb="FF638EC6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printOptions gridLines="1" gridLinesSet="1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 xmlns:xm="http://schemas.microsoft.com/office/excel/2006/main">
        <x14:conditionalFormatting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